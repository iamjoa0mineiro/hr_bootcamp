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31432\Documents\GitHub\hr_bootcamp\"/>
    </mc:Choice>
  </mc:AlternateContent>
  <xr:revisionPtr revIDLastSave="0" documentId="13_ncr:1_{AFF30F84-D408-42AF-8D35-08827A59ADA3}" xr6:coauthVersionLast="47" xr6:coauthVersionMax="47" xr10:uidLastSave="{00000000-0000-0000-0000-000000000000}"/>
  <bookViews>
    <workbookView xWindow="-110" yWindow="-110" windowWidth="19420" windowHeight="10420" activeTab="1" xr2:uid="{6756CEB7-30D0-4B0F-9226-025E0CA67FCC}"/>
  </bookViews>
  <sheets>
    <sheet name="Feature Importance" sheetId="1" r:id="rId1"/>
    <sheet name="Feature Importance -Bruno" sheetId="4" r:id="rId2"/>
    <sheet name="Numerical Variabl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1" i="4" l="1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F2" i="4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" i="1"/>
</calcChain>
</file>

<file path=xl/sharedStrings.xml><?xml version="1.0" encoding="utf-8"?>
<sst xmlns="http://schemas.openxmlformats.org/spreadsheetml/2006/main" count="200" uniqueCount="96">
  <si>
    <t>MonthlyIncome</t>
  </si>
  <si>
    <t>TotalWorkingYears</t>
  </si>
  <si>
    <t>DistanceFromHome</t>
  </si>
  <si>
    <t>HourlyRate</t>
  </si>
  <si>
    <t>DailyRate</t>
  </si>
  <si>
    <t>Ages</t>
  </si>
  <si>
    <t>Education</t>
  </si>
  <si>
    <t>EnvironmentSatisfaction</t>
  </si>
  <si>
    <t>JobInvolvment</t>
  </si>
  <si>
    <t>JobSatisfaction</t>
  </si>
  <si>
    <t>MonthlyRate</t>
  </si>
  <si>
    <t>NumCompaniesWorked</t>
  </si>
  <si>
    <t>PercentSalaryHike</t>
  </si>
  <si>
    <t>PerformanceRating</t>
  </si>
  <si>
    <t>RelationshipSatisfaction</t>
  </si>
  <si>
    <t>StockOptionLevel</t>
  </si>
  <si>
    <t>WorkLifeBalance</t>
  </si>
  <si>
    <t>YearsSinceLastPromotion</t>
  </si>
  <si>
    <t>YearsWithCurrManager</t>
  </si>
  <si>
    <t>RFE 1</t>
  </si>
  <si>
    <t>RFE 2</t>
  </si>
  <si>
    <t>RFE 3</t>
  </si>
  <si>
    <t>RFE 4</t>
  </si>
  <si>
    <t>RFE 5</t>
  </si>
  <si>
    <t>RFE 6</t>
  </si>
  <si>
    <t>RFE 7</t>
  </si>
  <si>
    <t>RFE 8</t>
  </si>
  <si>
    <t>RFE 9</t>
  </si>
  <si>
    <t>RFE 10</t>
  </si>
  <si>
    <t>Lasso 1</t>
  </si>
  <si>
    <t>Lasso 2</t>
  </si>
  <si>
    <t>Lasso 3</t>
  </si>
  <si>
    <t>Lasso 4</t>
  </si>
  <si>
    <t>Lasso 5</t>
  </si>
  <si>
    <t>Lasso 6</t>
  </si>
  <si>
    <t>Lasso 7</t>
  </si>
  <si>
    <t>Lasso 8</t>
  </si>
  <si>
    <t>Lasso 9</t>
  </si>
  <si>
    <t>Lasso 10</t>
  </si>
  <si>
    <t>DT 1</t>
  </si>
  <si>
    <t>DT 2</t>
  </si>
  <si>
    <t>DT 3</t>
  </si>
  <si>
    <t>DT 4</t>
  </si>
  <si>
    <t>DT 5</t>
  </si>
  <si>
    <t>DT 6</t>
  </si>
  <si>
    <t>DT 7</t>
  </si>
  <si>
    <t>DT 8</t>
  </si>
  <si>
    <t>DT 9</t>
  </si>
  <si>
    <t>DT 10</t>
  </si>
  <si>
    <t>RESULT</t>
  </si>
  <si>
    <t>&gt; 20</t>
  </si>
  <si>
    <t>Keep</t>
  </si>
  <si>
    <t>Remove</t>
  </si>
  <si>
    <t>Try</t>
  </si>
  <si>
    <t>DECISION</t>
  </si>
  <si>
    <t>&gt; 15 ; &lt; 20</t>
  </si>
  <si>
    <t>&lt; 15</t>
  </si>
  <si>
    <t>TrainingTimesLastYear</t>
  </si>
  <si>
    <t>Numerical Variable</t>
  </si>
  <si>
    <t>Type</t>
  </si>
  <si>
    <t>Ordinal</t>
  </si>
  <si>
    <t>Age</t>
  </si>
  <si>
    <t>Continuous</t>
  </si>
  <si>
    <t>JobInvolvement</t>
  </si>
  <si>
    <t>YearsAtCompany</t>
  </si>
  <si>
    <t>Variable</t>
  </si>
  <si>
    <t>RFE_Split_1</t>
  </si>
  <si>
    <t>Lasso_Split_1</t>
  </si>
  <si>
    <t>DT_Split_1</t>
  </si>
  <si>
    <t>RFE_Split_2</t>
  </si>
  <si>
    <t>Lasso_Split_2</t>
  </si>
  <si>
    <t>DT_Split_2</t>
  </si>
  <si>
    <t>RFE_Split_3</t>
  </si>
  <si>
    <t>Lasso_Split_3</t>
  </si>
  <si>
    <t>DT_Split_3</t>
  </si>
  <si>
    <t>RFE_Split_4</t>
  </si>
  <si>
    <t>Lasso_Split_4</t>
  </si>
  <si>
    <t>DT_Split_4</t>
  </si>
  <si>
    <t>RFE_Split_5</t>
  </si>
  <si>
    <t>Lasso_Split_5</t>
  </si>
  <si>
    <t>DT_Split_5</t>
  </si>
  <si>
    <t>RFE_Split_6</t>
  </si>
  <si>
    <t>Lasso_Split_6</t>
  </si>
  <si>
    <t>DT_Split_6</t>
  </si>
  <si>
    <t>RFE_Split_7</t>
  </si>
  <si>
    <t>Lasso_Split_7</t>
  </si>
  <si>
    <t>DT_Split_7</t>
  </si>
  <si>
    <t>RFE_Split_8</t>
  </si>
  <si>
    <t>Lasso_Split_8</t>
  </si>
  <si>
    <t>DT_Split_8</t>
  </si>
  <si>
    <t>RFE_Split_9</t>
  </si>
  <si>
    <t>Lasso_Split_9</t>
  </si>
  <si>
    <t>DT_Split_9</t>
  </si>
  <si>
    <t>RFE_Split_10</t>
  </si>
  <si>
    <t>Lasso_Split_10</t>
  </si>
  <si>
    <t>DT_Split_10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</si>
</sst>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9B000F-0688-4AF4-8F8C-1AA1397FB7D1}" name="Tabela1" displayName="Tabela1" ref="A1:AG21" totalsRowShown="0">
  <autoFilter ref="A1:AG21" xr:uid="{0A9B000F-0688-4AF4-8F8C-1AA1397FB7D1}">
    <filterColumn colId="32">
      <filters>
        <filter val="Try"/>
      </filters>
    </filterColumn>
  </autoFilter>
  <sortState xmlns:xlrd2="http://schemas.microsoft.com/office/spreadsheetml/2017/richdata2" ref="A2:AG21">
    <sortCondition ref="A1:A21"/>
  </sortState>
  <tableColumns count="33">
    <tableColumn id="1" xr3:uid="{0F5B2E07-FB69-4AE9-B6AA-395854888629}" name="Variable"/>
    <tableColumn id="2" xr3:uid="{E33CE0DD-D450-47E8-8248-8B2DB5F26A92}" name="RFE 1"/>
    <tableColumn id="3" xr3:uid="{B456B54E-CDE4-4037-9BD3-CB6596128737}" name="RFE 2"/>
    <tableColumn id="4" xr3:uid="{C1063C12-2080-413B-A1AF-684C78B8FA2E}" name="RFE 3"/>
    <tableColumn id="5" xr3:uid="{6BBD076B-080A-4256-B439-B85567CA019E}" name="RFE 4"/>
    <tableColumn id="6" xr3:uid="{FE8B378A-3C2B-453F-B0EA-B38FEFE0474A}" name="RFE 5"/>
    <tableColumn id="7" xr3:uid="{08F5BDB1-B2DD-4231-BEA5-5B720C5FA24E}" name="RFE 6"/>
    <tableColumn id="8" xr3:uid="{239A6EF0-5CE4-4E6A-854B-E7B0F8BEF72D}" name="RFE 7"/>
    <tableColumn id="9" xr3:uid="{5BDE66FD-9411-498F-8473-058ED5499BE2}" name="RFE 8"/>
    <tableColumn id="10" xr3:uid="{94E5EDD5-EE32-421C-81FB-F7B485117046}" name="RFE 9"/>
    <tableColumn id="11" xr3:uid="{30769A71-A79D-4981-B9CF-B13C7077E7E7}" name="RFE 10"/>
    <tableColumn id="12" xr3:uid="{C4656303-2CED-4E3A-96CC-295C38FD7447}" name="Lasso 1"/>
    <tableColumn id="13" xr3:uid="{D31D92F4-4C39-44F6-9767-11F2AE4740CE}" name="Lasso 2"/>
    <tableColumn id="14" xr3:uid="{21A7E1C2-4498-4260-95EB-7C3A12D9B722}" name="Lasso 3"/>
    <tableColumn id="15" xr3:uid="{EB004B75-208D-4EBE-8326-27E2743C007E}" name="Lasso 4"/>
    <tableColumn id="16" xr3:uid="{2497E928-9F0B-4E5A-B239-0FC46E7F732F}" name="Lasso 5"/>
    <tableColumn id="17" xr3:uid="{A85E35E0-1CCD-45AE-969C-1A67C68FE5CA}" name="Lasso 6"/>
    <tableColumn id="18" xr3:uid="{BA84A3A3-ADCB-457A-8B7E-F65A6C91C4A2}" name="Lasso 7"/>
    <tableColumn id="19" xr3:uid="{14FE9661-E139-4953-9B77-4685C0980DA6}" name="Lasso 8"/>
    <tableColumn id="20" xr3:uid="{57881BF6-5A24-4BAF-A4B1-F532C8F0FD56}" name="Lasso 9"/>
    <tableColumn id="21" xr3:uid="{3199C54F-1EB1-4E0D-BB95-897080DDE3F7}" name="Lasso 10"/>
    <tableColumn id="22" xr3:uid="{94EF010C-490A-433E-98EC-89B43168E0C0}" name="DT 1"/>
    <tableColumn id="23" xr3:uid="{0D9BA602-73BC-43F9-B64D-DE4EF15F8DE6}" name="DT 2"/>
    <tableColumn id="24" xr3:uid="{A75C4FA8-66BB-4226-8FA2-ECB7B7348AB8}" name="DT 3"/>
    <tableColumn id="25" xr3:uid="{55963F96-97E3-47F5-864F-63ECAE708BAD}" name="DT 4"/>
    <tableColumn id="26" xr3:uid="{A4E094AA-1ED9-46C8-B25B-EEF68AB4ABB6}" name="DT 5"/>
    <tableColumn id="27" xr3:uid="{789D04A5-316A-4369-9CCB-A5AA21BE087D}" name="DT 6"/>
    <tableColumn id="28" xr3:uid="{131D5B3B-F9E8-49BD-B4FD-6E52FB624074}" name="DT 7"/>
    <tableColumn id="29" xr3:uid="{3CAA3632-EE56-47D2-AA87-6016E02C5FFC}" name="DT 8"/>
    <tableColumn id="30" xr3:uid="{A2B8ADE9-9265-4189-A8DC-0BBB69EDBAF7}" name="DT 9"/>
    <tableColumn id="31" xr3:uid="{C5E4F351-7398-467D-AAD0-5382EC603D0F}" name="DT 10"/>
    <tableColumn id="32" xr3:uid="{C2F6A6BA-8E9B-4818-86F0-86C369196781}" name="RESULT">
      <calculatedColumnFormula>SUM(B2:AE2)</calculatedColumnFormula>
    </tableColumn>
    <tableColumn id="33" xr3:uid="{23AAA779-8A57-43EE-B7B9-6395A1C3376E}" name="DEC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0B2155-7F41-4973-AADE-81792D3AB24A}" name="Tabela14" displayName="Tabela14" ref="A1:AG21" totalsRowShown="0">
  <autoFilter ref="A1:AG21" xr:uid="{0A9B000F-0688-4AF4-8F8C-1AA1397FB7D1}"/>
  <sortState xmlns:xlrd2="http://schemas.microsoft.com/office/spreadsheetml/2017/richdata2" ref="A2:AG21">
    <sortCondition ref="A1:A21"/>
  </sortState>
  <tableColumns count="33">
    <tableColumn id="1" xr3:uid="{25C4BD20-AB70-4AFA-B38F-4C405C30E2C8}" name="Variable" dataDxfId="0"/>
    <tableColumn id="2" xr3:uid="{FB665DA3-E6B4-44B2-B271-1DD012373B8D}" name="RFE_Split_1" dataDxfId="30"/>
    <tableColumn id="3" xr3:uid="{24FD914B-131B-4DF8-8A5C-6E213D2411B8}" name="Lasso_Split_1" dataDxfId="29"/>
    <tableColumn id="4" xr3:uid="{CBDEB2F8-7805-4F7A-A50E-9837C93F765D}" name="DT_Split_1" dataDxfId="28"/>
    <tableColumn id="5" xr3:uid="{F6501B90-60CD-4CFA-A448-9D47D320F48E}" name="RFE_Split_2" dataDxfId="27"/>
    <tableColumn id="6" xr3:uid="{0F869067-7911-455A-ABB7-F051E3BE3164}" name="Lasso_Split_2" dataDxfId="26"/>
    <tableColumn id="7" xr3:uid="{9819C367-0A54-460E-9798-02B52E627694}" name="DT_Split_2" dataDxfId="25"/>
    <tableColumn id="8" xr3:uid="{D40B12A2-326E-42ED-935E-B8A7D83C59F7}" name="RFE_Split_3" dataDxfId="24"/>
    <tableColumn id="9" xr3:uid="{93309AD3-211D-47A2-9835-5D85A6CFB09D}" name="Lasso_Split_3" dataDxfId="23"/>
    <tableColumn id="10" xr3:uid="{2A1D27D4-8497-47A9-B899-7EDD22C1BDDF}" name="DT_Split_3" dataDxfId="22"/>
    <tableColumn id="11" xr3:uid="{E4504619-E6D9-4A3B-B180-75A99CC9F351}" name="RFE_Split_4" dataDxfId="21"/>
    <tableColumn id="12" xr3:uid="{768B1531-6E40-4E1D-8AFD-45B120C1CAF0}" name="Lasso_Split_4" dataDxfId="20"/>
    <tableColumn id="13" xr3:uid="{045BDF04-2C42-4263-92C0-BDE486F970DD}" name="DT_Split_4" dataDxfId="19"/>
    <tableColumn id="14" xr3:uid="{4C341FA0-5671-40BA-AEA1-0DCEB996F33E}" name="RFE_Split_5" dataDxfId="18"/>
    <tableColumn id="15" xr3:uid="{BE6BCED1-85B0-4C01-B356-DA46F080D89E}" name="Lasso_Split_5" dataDxfId="17"/>
    <tableColumn id="16" xr3:uid="{D92C6229-C604-4B8E-86B9-866C4A5E982E}" name="DT_Split_5" dataDxfId="16"/>
    <tableColumn id="17" xr3:uid="{D970453E-6A69-471E-BDFF-02044994F303}" name="RFE_Split_6" dataDxfId="15"/>
    <tableColumn id="18" xr3:uid="{0CBB2C13-B889-44A6-B9A9-6134802A098A}" name="Lasso_Split_6" dataDxfId="14"/>
    <tableColumn id="19" xr3:uid="{23C1531E-F534-4440-ADBF-2B5D84559C66}" name="DT_Split_6" dataDxfId="13"/>
    <tableColumn id="20" xr3:uid="{01FD716A-0414-48BA-B6F0-47D8A50573EF}" name="RFE_Split_7" dataDxfId="12"/>
    <tableColumn id="21" xr3:uid="{D939CF89-4E55-464A-920D-1BD3562D6AAA}" name="Lasso_Split_7" dataDxfId="11"/>
    <tableColumn id="22" xr3:uid="{404659B2-5460-45A5-98CD-88CA2BE46548}" name="DT_Split_7" dataDxfId="10"/>
    <tableColumn id="23" xr3:uid="{9834C909-F05C-46AB-9152-F436C6165A06}" name="RFE_Split_8" dataDxfId="9"/>
    <tableColumn id="24" xr3:uid="{85438838-6FBB-411B-9942-CC4E39774DF6}" name="Lasso_Split_8" dataDxfId="8"/>
    <tableColumn id="25" xr3:uid="{1CE5F299-758C-472E-8522-CB6DDB95F4CA}" name="DT_Split_8" dataDxfId="7"/>
    <tableColumn id="26" xr3:uid="{1764BFA0-8A49-42D3-8C19-A97D5CBCB4F3}" name="RFE_Split_9" dataDxfId="6"/>
    <tableColumn id="27" xr3:uid="{95138DAE-F55C-4DFA-ABED-ECC7E3A2773F}" name="Lasso_Split_9" dataDxfId="5"/>
    <tableColumn id="28" xr3:uid="{63565CD5-41AB-4AD8-BF3A-2C6A74FF34F1}" name="DT_Split_9" dataDxfId="4"/>
    <tableColumn id="29" xr3:uid="{7EE4CCF1-EFE6-4449-9EB5-6F31866AFA1A}" name="RFE_Split_10" dataDxfId="3"/>
    <tableColumn id="30" xr3:uid="{533D4A47-9778-4688-97DA-46748E96615E}" name="Lasso_Split_10" dataDxfId="2"/>
    <tableColumn id="31" xr3:uid="{6E7AAFA7-11BF-488F-8315-2BD3308D7FDC}" name="DT_Split_10" dataDxfId="1"/>
    <tableColumn id="32" xr3:uid="{07EE9BF3-FF60-4DA0-83A5-4AEBB466B502}" name="RESULT">
      <calculatedColumnFormula>SUM(B2:AE2)</calculatedColumnFormula>
    </tableColumn>
    <tableColumn id="33" xr3:uid="{408C13D7-1059-4924-ACDF-7FC4FECA788D}" name="DECI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8D0C4D-95AC-4495-BFB9-1B177E7650BE}" name="Tabela2" displayName="Tabela2" ref="A1:B21" totalsRowShown="0">
  <autoFilter ref="A1:B21" xr:uid="{858D0C4D-95AC-4495-BFB9-1B177E7650BE}"/>
  <tableColumns count="2">
    <tableColumn id="1" xr3:uid="{36654080-A47F-45AA-8588-E1A1AA8FC8CD}" name="Numerical Variable"/>
    <tableColumn id="2" xr3:uid="{C45677A5-84C5-4EB4-8FE3-F34F58965A12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55AA-CF22-4996-82E4-A9971569B474}">
  <dimension ref="A1:AG25"/>
  <sheetViews>
    <sheetView workbookViewId="0">
      <pane xSplit="1" topLeftCell="R1" activePane="topRight" state="frozen"/>
      <selection pane="topRight" activeCell="AG21" sqref="AG2:AG21"/>
    </sheetView>
  </sheetViews>
  <sheetFormatPr defaultRowHeight="14.5" x14ac:dyDescent="0.35"/>
  <cols>
    <col min="1" max="1" width="21.90625" bestFit="1" customWidth="1"/>
    <col min="2" max="10" width="7.54296875" customWidth="1"/>
    <col min="11" max="11" width="8.453125" customWidth="1"/>
    <col min="12" max="20" width="9.1796875" customWidth="1"/>
    <col min="21" max="21" width="10.08984375" customWidth="1"/>
    <col min="32" max="32" width="9.453125" customWidth="1"/>
    <col min="33" max="33" width="11.6328125" customWidth="1"/>
  </cols>
  <sheetData>
    <row r="1" spans="1:33" x14ac:dyDescent="0.35">
      <c r="A1" t="s">
        <v>65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54</v>
      </c>
    </row>
    <row r="2" spans="1:33" hidden="1" x14ac:dyDescent="0.35">
      <c r="A2" t="s">
        <v>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f>SUM(B2:AE2)</f>
        <v>30</v>
      </c>
      <c r="AG2" t="s">
        <v>51</v>
      </c>
    </row>
    <row r="3" spans="1:33" x14ac:dyDescent="0.3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f>SUM(B3:AE3)</f>
        <v>17</v>
      </c>
      <c r="AG3" t="s">
        <v>53</v>
      </c>
    </row>
    <row r="4" spans="1:33" hidden="1" x14ac:dyDescent="0.3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f>SUM(B4:AE4)</f>
        <v>20</v>
      </c>
      <c r="AG4" t="s">
        <v>51</v>
      </c>
    </row>
    <row r="5" spans="1:33" hidden="1" x14ac:dyDescent="0.3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1</v>
      </c>
      <c r="Z5">
        <v>1</v>
      </c>
      <c r="AA5">
        <v>1</v>
      </c>
      <c r="AB5">
        <v>0</v>
      </c>
      <c r="AC5">
        <v>1</v>
      </c>
      <c r="AD5">
        <v>0</v>
      </c>
      <c r="AE5">
        <v>0</v>
      </c>
      <c r="AF5">
        <f>SUM(B5:AE5)</f>
        <v>6</v>
      </c>
      <c r="AG5" t="s">
        <v>52</v>
      </c>
    </row>
    <row r="6" spans="1:33" x14ac:dyDescent="0.35">
      <c r="A6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f>SUM(B6:AE6)</f>
        <v>19</v>
      </c>
      <c r="AG6" t="s">
        <v>53</v>
      </c>
    </row>
    <row r="7" spans="1:33" x14ac:dyDescent="0.35">
      <c r="A7" t="s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f>SUM(B7:AE7)</f>
        <v>18</v>
      </c>
      <c r="AG7" t="s">
        <v>53</v>
      </c>
    </row>
    <row r="8" spans="1:33" hidden="1" x14ac:dyDescent="0.35">
      <c r="A8" t="s">
        <v>8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f>SUM(B8:AE8)</f>
        <v>27</v>
      </c>
      <c r="AG8" t="s">
        <v>51</v>
      </c>
    </row>
    <row r="9" spans="1:33" x14ac:dyDescent="0.35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1</v>
      </c>
      <c r="AE9">
        <v>1</v>
      </c>
      <c r="AF9">
        <f>SUM(B9:AE9)</f>
        <v>18</v>
      </c>
      <c r="AG9" t="s">
        <v>53</v>
      </c>
    </row>
    <row r="10" spans="1:33" hidden="1" x14ac:dyDescent="0.35">
      <c r="A10" t="s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f>SUM(B10:AE10)</f>
        <v>23</v>
      </c>
      <c r="AG10" t="s">
        <v>51</v>
      </c>
    </row>
    <row r="11" spans="1:33" hidden="1" x14ac:dyDescent="0.3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f>SUM(B11:AE11)</f>
        <v>10</v>
      </c>
      <c r="AG11" t="s">
        <v>52</v>
      </c>
    </row>
    <row r="12" spans="1:33" hidden="1" x14ac:dyDescent="0.35">
      <c r="A12" t="s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f>SUM(B12:AE12)</f>
        <v>22</v>
      </c>
      <c r="AG12" t="s">
        <v>51</v>
      </c>
    </row>
    <row r="13" spans="1:33" hidden="1" x14ac:dyDescent="0.3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f>SUM(B13:AE13)</f>
        <v>15</v>
      </c>
      <c r="AG13" t="s">
        <v>52</v>
      </c>
    </row>
    <row r="14" spans="1:33" hidden="1" x14ac:dyDescent="0.3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f>SUM(B14:AE14)</f>
        <v>0</v>
      </c>
      <c r="AG14" t="s">
        <v>52</v>
      </c>
    </row>
    <row r="15" spans="1:33" x14ac:dyDescent="0.3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0</v>
      </c>
      <c r="AF15">
        <f>SUM(B15:AE15)</f>
        <v>16</v>
      </c>
      <c r="AG15" t="s">
        <v>53</v>
      </c>
    </row>
    <row r="16" spans="1:33" hidden="1" x14ac:dyDescent="0.35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f>SUM(B16:AE16)</f>
        <v>30</v>
      </c>
      <c r="AG16" t="s">
        <v>51</v>
      </c>
    </row>
    <row r="17" spans="1:33" hidden="1" x14ac:dyDescent="0.35">
      <c r="A17" t="s">
        <v>1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f>SUM(B17:AE17)</f>
        <v>27</v>
      </c>
      <c r="AG17" t="s">
        <v>51</v>
      </c>
    </row>
    <row r="18" spans="1:33" x14ac:dyDescent="0.35">
      <c r="A18" t="s">
        <v>57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f>SUM(B18:AE18)</f>
        <v>18</v>
      </c>
      <c r="AG18" t="s">
        <v>53</v>
      </c>
    </row>
    <row r="19" spans="1:33" x14ac:dyDescent="0.35">
      <c r="A19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f>SUM(B19:AE19)</f>
        <v>19</v>
      </c>
      <c r="AG19" t="s">
        <v>53</v>
      </c>
    </row>
    <row r="20" spans="1:33" x14ac:dyDescent="0.35">
      <c r="A20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1</v>
      </c>
      <c r="Y20">
        <v>0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1</v>
      </c>
      <c r="AF20">
        <f>SUM(B20:AE20)</f>
        <v>17</v>
      </c>
      <c r="AG20" t="s">
        <v>53</v>
      </c>
    </row>
    <row r="21" spans="1:33" hidden="1" x14ac:dyDescent="0.35">
      <c r="A21" t="s">
        <v>18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f>SUM(B21:AE21)</f>
        <v>27</v>
      </c>
      <c r="AG21" t="s">
        <v>51</v>
      </c>
    </row>
    <row r="23" spans="1:33" x14ac:dyDescent="0.35">
      <c r="AE23" t="s">
        <v>50</v>
      </c>
      <c r="AF23" t="s">
        <v>51</v>
      </c>
    </row>
    <row r="24" spans="1:33" x14ac:dyDescent="0.35">
      <c r="AE24" t="s">
        <v>55</v>
      </c>
      <c r="AF24" t="s">
        <v>53</v>
      </c>
    </row>
    <row r="25" spans="1:33" x14ac:dyDescent="0.35">
      <c r="AE25" t="s">
        <v>56</v>
      </c>
      <c r="AF25" t="s">
        <v>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CA8B-DD1C-4AC3-B08E-A362908BEF24}">
  <dimension ref="A1:AG25"/>
  <sheetViews>
    <sheetView tabSelected="1" workbookViewId="0">
      <pane xSplit="1" topLeftCell="R1" activePane="topRight" state="frozen"/>
      <selection pane="topRight" activeCell="AG18" sqref="AG18"/>
    </sheetView>
  </sheetViews>
  <sheetFormatPr defaultRowHeight="14.5" x14ac:dyDescent="0.35"/>
  <cols>
    <col min="1" max="1" width="21.90625" style="1" bestFit="1" customWidth="1"/>
    <col min="2" max="2" width="11.81640625" style="1" bestFit="1" customWidth="1"/>
    <col min="3" max="3" width="11.36328125" style="1" bestFit="1" customWidth="1"/>
    <col min="4" max="4" width="11.54296875" style="1" bestFit="1" customWidth="1"/>
    <col min="5" max="5" width="11.81640625" style="1" bestFit="1" customWidth="1"/>
    <col min="6" max="6" width="11.36328125" style="1" bestFit="1" customWidth="1"/>
    <col min="7" max="7" width="11.54296875" style="1" bestFit="1" customWidth="1"/>
    <col min="8" max="8" width="11.81640625" style="1" bestFit="1" customWidth="1"/>
    <col min="9" max="9" width="11.36328125" style="1" bestFit="1" customWidth="1"/>
    <col min="10" max="10" width="11.54296875" style="1" bestFit="1" customWidth="1"/>
    <col min="11" max="11" width="12.36328125" style="1" bestFit="1" customWidth="1"/>
    <col min="12" max="12" width="13.26953125" style="1" bestFit="1" customWidth="1"/>
    <col min="13" max="13" width="9.1796875" style="1" customWidth="1"/>
    <col min="14" max="14" width="13.08984375" style="1" bestFit="1" customWidth="1"/>
    <col min="15" max="15" width="13.26953125" style="1" bestFit="1" customWidth="1"/>
    <col min="16" max="17" width="9.1796875" style="1" customWidth="1"/>
    <col min="18" max="18" width="13.26953125" style="1" bestFit="1" customWidth="1"/>
    <col min="19" max="20" width="9.1796875" style="1" customWidth="1"/>
    <col min="21" max="21" width="10.08984375" style="1" customWidth="1"/>
    <col min="22" max="31" width="8.7265625" style="1"/>
    <col min="32" max="32" width="9.453125" style="1" customWidth="1"/>
    <col min="33" max="33" width="11.6328125" style="1" customWidth="1"/>
    <col min="34" max="16384" width="8.7265625" style="1"/>
  </cols>
  <sheetData>
    <row r="1" spans="1:33" ht="26" x14ac:dyDescent="0.35">
      <c r="A1" s="1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78</v>
      </c>
      <c r="O1" s="2" t="s">
        <v>79</v>
      </c>
      <c r="P1" s="2" t="s">
        <v>80</v>
      </c>
      <c r="Q1" s="2" t="s">
        <v>81</v>
      </c>
      <c r="R1" s="2" t="s">
        <v>82</v>
      </c>
      <c r="S1" s="2" t="s">
        <v>83</v>
      </c>
      <c r="T1" s="2" t="s">
        <v>84</v>
      </c>
      <c r="U1" s="2" t="s">
        <v>85</v>
      </c>
      <c r="V1" s="2" t="s">
        <v>86</v>
      </c>
      <c r="W1" s="2" t="s">
        <v>87</v>
      </c>
      <c r="X1" s="2" t="s">
        <v>88</v>
      </c>
      <c r="Y1" s="2" t="s">
        <v>89</v>
      </c>
      <c r="Z1" s="2" t="s">
        <v>90</v>
      </c>
      <c r="AA1" s="2" t="s">
        <v>91</v>
      </c>
      <c r="AB1" s="2" t="s">
        <v>92</v>
      </c>
      <c r="AC1" s="2" t="s">
        <v>93</v>
      </c>
      <c r="AD1" s="2" t="s">
        <v>94</v>
      </c>
      <c r="AE1" s="2" t="s">
        <v>95</v>
      </c>
      <c r="AF1" s="1" t="s">
        <v>49</v>
      </c>
      <c r="AG1" s="1" t="s">
        <v>54</v>
      </c>
    </row>
    <row r="2" spans="1:33" x14ac:dyDescent="0.35">
      <c r="A2" s="2" t="s">
        <v>61</v>
      </c>
      <c r="B2" s="3">
        <v>0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0</v>
      </c>
      <c r="I2" s="3">
        <v>1</v>
      </c>
      <c r="J2" s="3">
        <v>1</v>
      </c>
      <c r="K2" s="3">
        <v>0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0</v>
      </c>
      <c r="R2" s="3">
        <v>1</v>
      </c>
      <c r="S2" s="3">
        <v>0</v>
      </c>
      <c r="T2" s="3">
        <v>1</v>
      </c>
      <c r="U2" s="3">
        <v>1</v>
      </c>
      <c r="V2" s="3">
        <v>1</v>
      </c>
      <c r="W2" s="3">
        <v>0</v>
      </c>
      <c r="X2" s="3">
        <v>1</v>
      </c>
      <c r="Y2" s="3">
        <v>1</v>
      </c>
      <c r="Z2" s="3">
        <v>0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  <c r="AF2" s="1">
        <f>SUM(B2:AE2)</f>
        <v>21</v>
      </c>
      <c r="AG2" s="1" t="s">
        <v>51</v>
      </c>
    </row>
    <row r="3" spans="1:33" x14ac:dyDescent="0.35">
      <c r="A3" s="2" t="s">
        <v>4</v>
      </c>
      <c r="B3" s="3">
        <v>0</v>
      </c>
      <c r="C3" s="3">
        <v>1</v>
      </c>
      <c r="D3" s="3">
        <v>1</v>
      </c>
      <c r="E3" s="3">
        <v>0</v>
      </c>
      <c r="F3" s="3">
        <v>1</v>
      </c>
      <c r="G3" s="3">
        <v>1</v>
      </c>
      <c r="H3" s="3">
        <v>0</v>
      </c>
      <c r="I3" s="3">
        <v>1</v>
      </c>
      <c r="J3" s="3">
        <v>1</v>
      </c>
      <c r="K3" s="3">
        <v>0</v>
      </c>
      <c r="L3" s="3">
        <v>1</v>
      </c>
      <c r="M3" s="3">
        <v>1</v>
      </c>
      <c r="N3" s="3">
        <v>0</v>
      </c>
      <c r="O3" s="3">
        <v>1</v>
      </c>
      <c r="P3" s="3">
        <v>1</v>
      </c>
      <c r="Q3" s="3">
        <v>0</v>
      </c>
      <c r="R3" s="3">
        <v>1</v>
      </c>
      <c r="S3" s="3">
        <v>1</v>
      </c>
      <c r="T3" s="3">
        <v>0</v>
      </c>
      <c r="U3" s="3">
        <v>1</v>
      </c>
      <c r="V3" s="3">
        <v>1</v>
      </c>
      <c r="W3" s="3">
        <v>0</v>
      </c>
      <c r="X3" s="3">
        <v>1</v>
      </c>
      <c r="Y3" s="3">
        <v>1</v>
      </c>
      <c r="Z3" s="3">
        <v>0</v>
      </c>
      <c r="AA3" s="3">
        <v>1</v>
      </c>
      <c r="AB3" s="3">
        <v>1</v>
      </c>
      <c r="AC3" s="3">
        <v>0</v>
      </c>
      <c r="AD3" s="3">
        <v>1</v>
      </c>
      <c r="AE3" s="3">
        <v>1</v>
      </c>
      <c r="AF3" s="1">
        <f>SUM(B3:AE3)</f>
        <v>20</v>
      </c>
      <c r="AG3" s="1" t="s">
        <v>51</v>
      </c>
    </row>
    <row r="4" spans="1:33" x14ac:dyDescent="0.35">
      <c r="A4" s="2" t="s">
        <v>2</v>
      </c>
      <c r="B4" s="3">
        <v>0</v>
      </c>
      <c r="C4" s="3">
        <v>1</v>
      </c>
      <c r="D4" s="3">
        <v>1</v>
      </c>
      <c r="E4" s="3">
        <v>0</v>
      </c>
      <c r="F4" s="3">
        <v>1</v>
      </c>
      <c r="G4" s="3">
        <v>1</v>
      </c>
      <c r="H4" s="3">
        <v>0</v>
      </c>
      <c r="I4" s="3">
        <v>1</v>
      </c>
      <c r="J4" s="3">
        <v>1</v>
      </c>
      <c r="K4" s="3">
        <v>0</v>
      </c>
      <c r="L4" s="3">
        <v>1</v>
      </c>
      <c r="M4" s="3">
        <v>1</v>
      </c>
      <c r="N4" s="3">
        <v>0</v>
      </c>
      <c r="O4" s="3">
        <v>1</v>
      </c>
      <c r="P4" s="3">
        <v>1</v>
      </c>
      <c r="Q4" s="3">
        <v>0</v>
      </c>
      <c r="R4" s="3">
        <v>1</v>
      </c>
      <c r="S4" s="3">
        <v>1</v>
      </c>
      <c r="T4" s="3">
        <v>0</v>
      </c>
      <c r="U4" s="3">
        <v>1</v>
      </c>
      <c r="V4" s="3">
        <v>1</v>
      </c>
      <c r="W4" s="3">
        <v>0</v>
      </c>
      <c r="X4" s="3">
        <v>1</v>
      </c>
      <c r="Y4" s="3">
        <v>1</v>
      </c>
      <c r="Z4" s="3">
        <v>0</v>
      </c>
      <c r="AA4" s="3">
        <v>1</v>
      </c>
      <c r="AB4" s="3">
        <v>1</v>
      </c>
      <c r="AC4" s="3">
        <v>0</v>
      </c>
      <c r="AD4" s="3">
        <v>1</v>
      </c>
      <c r="AE4" s="3">
        <v>1</v>
      </c>
      <c r="AF4" s="1">
        <f>SUM(B4:AE4)</f>
        <v>20</v>
      </c>
      <c r="AG4" s="1" t="s">
        <v>51</v>
      </c>
    </row>
    <row r="5" spans="1:33" x14ac:dyDescent="0.35">
      <c r="A5" s="2" t="s">
        <v>6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3">
        <v>1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R5" s="3">
        <v>1</v>
      </c>
      <c r="S5" s="3">
        <v>0</v>
      </c>
      <c r="T5" s="3">
        <v>0</v>
      </c>
      <c r="U5" s="3">
        <v>1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3">
        <v>1</v>
      </c>
      <c r="AB5" s="3">
        <v>0</v>
      </c>
      <c r="AC5" s="3">
        <v>0</v>
      </c>
      <c r="AD5" s="3">
        <v>0</v>
      </c>
      <c r="AE5" s="3">
        <v>0</v>
      </c>
      <c r="AF5" s="1">
        <f>SUM(B5:AE5)</f>
        <v>9</v>
      </c>
      <c r="AG5" s="1" t="s">
        <v>52</v>
      </c>
    </row>
    <row r="6" spans="1:33" x14ac:dyDescent="0.35">
      <c r="A6" s="2" t="s">
        <v>7</v>
      </c>
      <c r="B6" s="3">
        <v>0</v>
      </c>
      <c r="C6" s="3">
        <v>1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3">
        <v>1</v>
      </c>
      <c r="M6" s="3">
        <v>0</v>
      </c>
      <c r="N6" s="3">
        <v>0</v>
      </c>
      <c r="O6" s="3">
        <v>1</v>
      </c>
      <c r="P6" s="3">
        <v>0</v>
      </c>
      <c r="Q6" s="3">
        <v>0</v>
      </c>
      <c r="R6" s="3">
        <v>1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1</v>
      </c>
      <c r="Y6" s="3">
        <v>0</v>
      </c>
      <c r="Z6" s="3">
        <v>0</v>
      </c>
      <c r="AA6" s="3">
        <v>1</v>
      </c>
      <c r="AB6" s="3">
        <v>0</v>
      </c>
      <c r="AC6" s="3">
        <v>0</v>
      </c>
      <c r="AD6" s="3">
        <v>1</v>
      </c>
      <c r="AE6" s="3">
        <v>0</v>
      </c>
      <c r="AF6" s="1">
        <f>SUM(B6:AE6)</f>
        <v>10</v>
      </c>
      <c r="AG6" s="1" t="s">
        <v>52</v>
      </c>
    </row>
    <row r="7" spans="1:33" x14ac:dyDescent="0.35">
      <c r="A7" s="2" t="s">
        <v>3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1</v>
      </c>
      <c r="J7" s="3">
        <v>1</v>
      </c>
      <c r="K7" s="3">
        <v>0</v>
      </c>
      <c r="L7" s="3">
        <v>0</v>
      </c>
      <c r="M7" s="3">
        <v>1</v>
      </c>
      <c r="N7" s="3">
        <v>0</v>
      </c>
      <c r="O7" s="3">
        <v>1</v>
      </c>
      <c r="P7" s="3">
        <v>1</v>
      </c>
      <c r="Q7" s="3">
        <v>0</v>
      </c>
      <c r="R7" s="3">
        <v>1</v>
      </c>
      <c r="S7" s="3">
        <v>1</v>
      </c>
      <c r="T7" s="3">
        <v>0</v>
      </c>
      <c r="U7" s="3">
        <v>0</v>
      </c>
      <c r="V7" s="3">
        <v>1</v>
      </c>
      <c r="W7" s="3">
        <v>0</v>
      </c>
      <c r="X7" s="3">
        <v>0</v>
      </c>
      <c r="Y7" s="3">
        <v>1</v>
      </c>
      <c r="Z7" s="3">
        <v>0</v>
      </c>
      <c r="AA7" s="3">
        <v>1</v>
      </c>
      <c r="AB7" s="3">
        <v>1</v>
      </c>
      <c r="AC7" s="3">
        <v>0</v>
      </c>
      <c r="AD7" s="3">
        <v>0</v>
      </c>
      <c r="AE7" s="3">
        <v>1</v>
      </c>
      <c r="AF7" s="1">
        <f>SUM(B7:AE7)</f>
        <v>14</v>
      </c>
      <c r="AG7" s="1" t="s">
        <v>52</v>
      </c>
    </row>
    <row r="8" spans="1:33" x14ac:dyDescent="0.35">
      <c r="A8" s="2" t="s">
        <v>63</v>
      </c>
      <c r="B8" s="3">
        <v>1</v>
      </c>
      <c r="C8" s="3">
        <v>1</v>
      </c>
      <c r="D8" s="3">
        <v>0</v>
      </c>
      <c r="E8" s="3">
        <v>1</v>
      </c>
      <c r="F8" s="3">
        <v>1</v>
      </c>
      <c r="G8" s="3">
        <v>0</v>
      </c>
      <c r="H8" s="3">
        <v>1</v>
      </c>
      <c r="I8" s="3">
        <v>1</v>
      </c>
      <c r="J8" s="3">
        <v>0</v>
      </c>
      <c r="K8" s="3">
        <v>1</v>
      </c>
      <c r="L8" s="3">
        <v>1</v>
      </c>
      <c r="M8" s="3">
        <v>0</v>
      </c>
      <c r="N8" s="3">
        <v>1</v>
      </c>
      <c r="O8" s="3">
        <v>1</v>
      </c>
      <c r="P8" s="3">
        <v>0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0</v>
      </c>
      <c r="W8" s="3">
        <v>1</v>
      </c>
      <c r="X8" s="3">
        <v>1</v>
      </c>
      <c r="Y8" s="3">
        <v>0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0</v>
      </c>
      <c r="AF8" s="1">
        <f>SUM(B8:AE8)</f>
        <v>22</v>
      </c>
      <c r="AG8" s="1" t="s">
        <v>51</v>
      </c>
    </row>
    <row r="9" spans="1:33" x14ac:dyDescent="0.35">
      <c r="A9" s="2" t="s">
        <v>9</v>
      </c>
      <c r="B9" s="3">
        <v>0</v>
      </c>
      <c r="C9" s="3">
        <v>1</v>
      </c>
      <c r="D9" s="3">
        <v>0</v>
      </c>
      <c r="E9" s="3">
        <v>0</v>
      </c>
      <c r="F9" s="3">
        <v>1</v>
      </c>
      <c r="G9" s="3">
        <v>0</v>
      </c>
      <c r="H9" s="3">
        <v>0</v>
      </c>
      <c r="I9" s="3">
        <v>1</v>
      </c>
      <c r="J9" s="3">
        <v>1</v>
      </c>
      <c r="K9" s="3">
        <v>0</v>
      </c>
      <c r="L9" s="3">
        <v>1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1</v>
      </c>
      <c r="S9" s="3">
        <v>0</v>
      </c>
      <c r="T9" s="3">
        <v>0</v>
      </c>
      <c r="U9" s="3">
        <v>1</v>
      </c>
      <c r="V9" s="3">
        <v>0</v>
      </c>
      <c r="W9" s="3">
        <v>0</v>
      </c>
      <c r="X9" s="3">
        <v>1</v>
      </c>
      <c r="Y9" s="3">
        <v>0</v>
      </c>
      <c r="Z9" s="3">
        <v>0</v>
      </c>
      <c r="AA9" s="3">
        <v>1</v>
      </c>
      <c r="AB9" s="3">
        <v>0</v>
      </c>
      <c r="AC9" s="3">
        <v>0</v>
      </c>
      <c r="AD9" s="3">
        <v>1</v>
      </c>
      <c r="AE9" s="3">
        <v>0</v>
      </c>
      <c r="AF9" s="1">
        <f>SUM(B9:AE9)</f>
        <v>11</v>
      </c>
      <c r="AG9" s="1" t="s">
        <v>52</v>
      </c>
    </row>
    <row r="10" spans="1:33" x14ac:dyDescent="0.35">
      <c r="A10" s="2" t="s">
        <v>0</v>
      </c>
      <c r="B10" s="3">
        <v>0</v>
      </c>
      <c r="C10" s="3">
        <v>0</v>
      </c>
      <c r="D10" s="3">
        <v>1</v>
      </c>
      <c r="E10" s="3">
        <v>0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0</v>
      </c>
      <c r="O10" s="3">
        <v>1</v>
      </c>
      <c r="P10" s="3">
        <v>1</v>
      </c>
      <c r="Q10" s="3">
        <v>0</v>
      </c>
      <c r="R10" s="3">
        <v>1</v>
      </c>
      <c r="S10" s="3">
        <v>1</v>
      </c>
      <c r="T10" s="3">
        <v>0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0</v>
      </c>
      <c r="AD10" s="3">
        <v>1</v>
      </c>
      <c r="AE10" s="3">
        <v>1</v>
      </c>
      <c r="AF10" s="1">
        <f>SUM(B10:AE10)</f>
        <v>23</v>
      </c>
      <c r="AG10" s="1" t="s">
        <v>51</v>
      </c>
    </row>
    <row r="11" spans="1:33" x14ac:dyDescent="0.35">
      <c r="A11" s="2" t="s">
        <v>10</v>
      </c>
      <c r="B11" s="3">
        <v>0</v>
      </c>
      <c r="C11" s="3">
        <v>1</v>
      </c>
      <c r="D11" s="3">
        <v>1</v>
      </c>
      <c r="E11" s="3">
        <v>0</v>
      </c>
      <c r="F11" s="3">
        <v>1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1</v>
      </c>
      <c r="M11" s="3">
        <v>1</v>
      </c>
      <c r="N11" s="3">
        <v>0</v>
      </c>
      <c r="O11" s="3">
        <v>1</v>
      </c>
      <c r="P11" s="3">
        <v>1</v>
      </c>
      <c r="Q11" s="3">
        <v>0</v>
      </c>
      <c r="R11" s="3">
        <v>1</v>
      </c>
      <c r="S11" s="3">
        <v>1</v>
      </c>
      <c r="T11" s="3">
        <v>0</v>
      </c>
      <c r="U11" s="3">
        <v>1</v>
      </c>
      <c r="V11" s="3">
        <v>1</v>
      </c>
      <c r="W11" s="3">
        <v>0</v>
      </c>
      <c r="X11" s="3">
        <v>1</v>
      </c>
      <c r="Y11" s="3">
        <v>1</v>
      </c>
      <c r="Z11" s="3">
        <v>0</v>
      </c>
      <c r="AA11" s="3">
        <v>1</v>
      </c>
      <c r="AB11" s="3">
        <v>1</v>
      </c>
      <c r="AC11" s="3">
        <v>0</v>
      </c>
      <c r="AD11" s="3">
        <v>1</v>
      </c>
      <c r="AE11" s="3">
        <v>1</v>
      </c>
      <c r="AF11" s="1">
        <f>SUM(B11:AE11)</f>
        <v>18</v>
      </c>
      <c r="AG11" s="1" t="s">
        <v>53</v>
      </c>
    </row>
    <row r="12" spans="1:33" x14ac:dyDescent="0.35">
      <c r="A12" s="2" t="s">
        <v>11</v>
      </c>
      <c r="B12" s="3">
        <v>0</v>
      </c>
      <c r="C12" s="3">
        <v>1</v>
      </c>
      <c r="D12" s="3">
        <v>0</v>
      </c>
      <c r="E12" s="3">
        <v>0</v>
      </c>
      <c r="F12" s="3">
        <v>1</v>
      </c>
      <c r="G12" s="3">
        <v>1</v>
      </c>
      <c r="H12" s="3">
        <v>0</v>
      </c>
      <c r="I12" s="3">
        <v>1</v>
      </c>
      <c r="J12" s="3">
        <v>1</v>
      </c>
      <c r="K12" s="3">
        <v>0</v>
      </c>
      <c r="L12" s="3">
        <v>1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1</v>
      </c>
      <c r="S12" s="3">
        <v>0</v>
      </c>
      <c r="T12" s="3">
        <v>0</v>
      </c>
      <c r="U12" s="3">
        <v>1</v>
      </c>
      <c r="V12" s="3">
        <v>0</v>
      </c>
      <c r="W12" s="3">
        <v>0</v>
      </c>
      <c r="X12" s="3">
        <v>1</v>
      </c>
      <c r="Y12" s="3">
        <v>0</v>
      </c>
      <c r="Z12" s="3">
        <v>0</v>
      </c>
      <c r="AA12" s="3">
        <v>1</v>
      </c>
      <c r="AB12" s="3">
        <v>0</v>
      </c>
      <c r="AC12" s="3">
        <v>0</v>
      </c>
      <c r="AD12" s="3">
        <v>1</v>
      </c>
      <c r="AE12" s="3">
        <v>1</v>
      </c>
      <c r="AF12" s="1">
        <f>SUM(B12:AE12)</f>
        <v>13</v>
      </c>
      <c r="AG12" s="1" t="s">
        <v>51</v>
      </c>
    </row>
    <row r="13" spans="1:33" x14ac:dyDescent="0.35">
      <c r="A13" s="2" t="s">
        <v>12</v>
      </c>
      <c r="B13" s="3">
        <v>0</v>
      </c>
      <c r="C13" s="3">
        <v>0</v>
      </c>
      <c r="D13" s="3">
        <v>1</v>
      </c>
      <c r="E13" s="3">
        <v>0</v>
      </c>
      <c r="F13" s="3">
        <v>1</v>
      </c>
      <c r="G13" s="3">
        <v>1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0</v>
      </c>
      <c r="R13" s="3">
        <v>1</v>
      </c>
      <c r="S13" s="3">
        <v>0</v>
      </c>
      <c r="T13" s="3">
        <v>0</v>
      </c>
      <c r="U13" s="3">
        <v>1</v>
      </c>
      <c r="V13" s="3">
        <v>1</v>
      </c>
      <c r="W13" s="3">
        <v>0</v>
      </c>
      <c r="X13" s="3">
        <v>1</v>
      </c>
      <c r="Y13" s="3">
        <v>1</v>
      </c>
      <c r="Z13" s="3">
        <v>0</v>
      </c>
      <c r="AA13" s="3">
        <v>0</v>
      </c>
      <c r="AB13" s="3">
        <v>1</v>
      </c>
      <c r="AC13" s="3">
        <v>0</v>
      </c>
      <c r="AD13" s="3">
        <v>1</v>
      </c>
      <c r="AE13" s="3">
        <v>1</v>
      </c>
      <c r="AF13" s="1">
        <f>SUM(B13:AE13)</f>
        <v>14</v>
      </c>
      <c r="AG13" s="1" t="s">
        <v>52</v>
      </c>
    </row>
    <row r="14" spans="1:33" x14ac:dyDescent="0.35">
      <c r="A14" s="2" t="s">
        <v>13</v>
      </c>
      <c r="B14" s="3">
        <v>0</v>
      </c>
      <c r="C14" s="3">
        <v>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1</v>
      </c>
      <c r="S14" s="3">
        <v>0</v>
      </c>
      <c r="T14" s="3">
        <v>0</v>
      </c>
      <c r="U14" s="3">
        <v>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</v>
      </c>
      <c r="AB14" s="3">
        <v>0</v>
      </c>
      <c r="AC14" s="3">
        <v>0</v>
      </c>
      <c r="AD14" s="3">
        <v>0</v>
      </c>
      <c r="AE14" s="3">
        <v>0</v>
      </c>
      <c r="AF14" s="1">
        <f>SUM(B14:AE14)</f>
        <v>6</v>
      </c>
      <c r="AG14" s="1" t="s">
        <v>52</v>
      </c>
    </row>
    <row r="15" spans="1:33" x14ac:dyDescent="0.35">
      <c r="A15" s="2" t="s">
        <v>14</v>
      </c>
      <c r="B15" s="3">
        <v>0</v>
      </c>
      <c r="C15" s="3">
        <v>1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1</v>
      </c>
      <c r="J15" s="3">
        <v>1</v>
      </c>
      <c r="K15" s="3">
        <v>0</v>
      </c>
      <c r="L15" s="3">
        <v>1</v>
      </c>
      <c r="M15" s="3">
        <v>1</v>
      </c>
      <c r="N15" s="3">
        <v>0</v>
      </c>
      <c r="O15" s="3">
        <v>1</v>
      </c>
      <c r="P15" s="3">
        <v>0</v>
      </c>
      <c r="Q15" s="3">
        <v>0</v>
      </c>
      <c r="R15" s="3">
        <v>1</v>
      </c>
      <c r="S15" s="3">
        <v>1</v>
      </c>
      <c r="T15" s="3">
        <v>0</v>
      </c>
      <c r="U15" s="3">
        <v>1</v>
      </c>
      <c r="V15" s="3">
        <v>1</v>
      </c>
      <c r="W15" s="3">
        <v>0</v>
      </c>
      <c r="X15" s="3">
        <v>1</v>
      </c>
      <c r="Y15" s="3">
        <v>1</v>
      </c>
      <c r="Z15" s="3">
        <v>0</v>
      </c>
      <c r="AA15" s="3">
        <v>1</v>
      </c>
      <c r="AB15" s="3">
        <v>0</v>
      </c>
      <c r="AC15" s="3">
        <v>0</v>
      </c>
      <c r="AD15" s="3">
        <v>1</v>
      </c>
      <c r="AE15" s="3">
        <v>0</v>
      </c>
      <c r="AF15" s="1">
        <f>SUM(B15:AE15)</f>
        <v>15</v>
      </c>
      <c r="AG15" s="1" t="s">
        <v>53</v>
      </c>
    </row>
    <row r="16" spans="1:33" x14ac:dyDescent="0.35">
      <c r="A16" s="2" t="s">
        <v>15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0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0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0</v>
      </c>
      <c r="AF16" s="1">
        <f>SUM(B16:AE16)</f>
        <v>27</v>
      </c>
      <c r="AG16" s="1" t="s">
        <v>51</v>
      </c>
    </row>
    <row r="17" spans="1:33" x14ac:dyDescent="0.35">
      <c r="A17" s="2" t="s">
        <v>1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1">
        <f>SUM(B17:AE17)</f>
        <v>30</v>
      </c>
      <c r="AG17" s="1" t="s">
        <v>51</v>
      </c>
    </row>
    <row r="18" spans="1:33" x14ac:dyDescent="0.35">
      <c r="A18" s="2" t="s">
        <v>57</v>
      </c>
      <c r="B18" s="3">
        <v>0</v>
      </c>
      <c r="C18" s="3">
        <v>1</v>
      </c>
      <c r="D18" s="3">
        <v>0</v>
      </c>
      <c r="E18" s="3">
        <v>1</v>
      </c>
      <c r="F18" s="3">
        <v>1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1</v>
      </c>
      <c r="M18" s="3">
        <v>1</v>
      </c>
      <c r="N18" s="3">
        <v>0</v>
      </c>
      <c r="O18" s="3">
        <v>1</v>
      </c>
      <c r="P18" s="3">
        <v>1</v>
      </c>
      <c r="Q18" s="3">
        <v>0</v>
      </c>
      <c r="R18" s="3">
        <v>1</v>
      </c>
      <c r="S18" s="3">
        <v>1</v>
      </c>
      <c r="T18" s="3">
        <v>0</v>
      </c>
      <c r="U18" s="3">
        <v>1</v>
      </c>
      <c r="V18" s="3">
        <v>0</v>
      </c>
      <c r="W18" s="3">
        <v>0</v>
      </c>
      <c r="X18" s="3">
        <v>1</v>
      </c>
      <c r="Y18" s="3">
        <v>0</v>
      </c>
      <c r="Z18" s="3">
        <v>1</v>
      </c>
      <c r="AA18" s="3">
        <v>1</v>
      </c>
      <c r="AB18" s="3">
        <v>0</v>
      </c>
      <c r="AC18" s="3">
        <v>0</v>
      </c>
      <c r="AD18" s="3">
        <v>1</v>
      </c>
      <c r="AE18" s="3">
        <v>1</v>
      </c>
      <c r="AF18" s="1">
        <f>SUM(B18:AE18)</f>
        <v>16</v>
      </c>
      <c r="AG18" s="1" t="s">
        <v>53</v>
      </c>
    </row>
    <row r="19" spans="1:33" x14ac:dyDescent="0.35">
      <c r="A19" s="2" t="s">
        <v>16</v>
      </c>
      <c r="B19" s="3">
        <v>0</v>
      </c>
      <c r="C19" s="3">
        <v>1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1</v>
      </c>
      <c r="J19" s="3">
        <v>0</v>
      </c>
      <c r="K19" s="3">
        <v>0</v>
      </c>
      <c r="L19" s="3">
        <v>1</v>
      </c>
      <c r="M19" s="3">
        <v>0</v>
      </c>
      <c r="N19" s="3">
        <v>1</v>
      </c>
      <c r="O19" s="3">
        <v>1</v>
      </c>
      <c r="P19" s="3">
        <v>0</v>
      </c>
      <c r="Q19" s="3">
        <v>0</v>
      </c>
      <c r="R19" s="3">
        <v>1</v>
      </c>
      <c r="S19" s="3">
        <v>0</v>
      </c>
      <c r="T19" s="3">
        <v>0</v>
      </c>
      <c r="U19" s="3">
        <v>1</v>
      </c>
      <c r="V19" s="3">
        <v>0</v>
      </c>
      <c r="W19" s="3">
        <v>0</v>
      </c>
      <c r="X19" s="3">
        <v>1</v>
      </c>
      <c r="Y19" s="3">
        <v>0</v>
      </c>
      <c r="Z19" s="3">
        <v>0</v>
      </c>
      <c r="AA19" s="3">
        <v>1</v>
      </c>
      <c r="AB19" s="3">
        <v>0</v>
      </c>
      <c r="AC19" s="3">
        <v>0</v>
      </c>
      <c r="AD19" s="3">
        <v>1</v>
      </c>
      <c r="AE19" s="3">
        <v>0</v>
      </c>
      <c r="AF19" s="1">
        <f>SUM(B19:AE19)</f>
        <v>11</v>
      </c>
      <c r="AG19" s="1" t="s">
        <v>52</v>
      </c>
    </row>
    <row r="20" spans="1:33" x14ac:dyDescent="0.35">
      <c r="A20" s="2" t="s">
        <v>64</v>
      </c>
      <c r="B20" s="3">
        <v>1</v>
      </c>
      <c r="C20" s="3">
        <v>1</v>
      </c>
      <c r="D20" s="3">
        <v>1</v>
      </c>
      <c r="E20" s="3">
        <v>0</v>
      </c>
      <c r="F20" s="3">
        <v>1</v>
      </c>
      <c r="G20" s="3">
        <v>1</v>
      </c>
      <c r="H20" s="3">
        <v>1</v>
      </c>
      <c r="I20" s="3">
        <v>1</v>
      </c>
      <c r="J20" s="3">
        <v>0</v>
      </c>
      <c r="K20" s="3">
        <v>1</v>
      </c>
      <c r="L20" s="3">
        <v>1</v>
      </c>
      <c r="M20" s="3">
        <v>0</v>
      </c>
      <c r="N20" s="3">
        <v>0</v>
      </c>
      <c r="O20" s="3">
        <v>1</v>
      </c>
      <c r="P20" s="3">
        <v>1</v>
      </c>
      <c r="Q20" s="3">
        <v>1</v>
      </c>
      <c r="R20" s="3">
        <v>1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1</v>
      </c>
      <c r="Y20" s="3">
        <v>0</v>
      </c>
      <c r="Z20" s="3">
        <v>0</v>
      </c>
      <c r="AA20" s="3">
        <v>1</v>
      </c>
      <c r="AB20" s="3">
        <v>1</v>
      </c>
      <c r="AC20" s="3">
        <v>1</v>
      </c>
      <c r="AD20" s="3">
        <v>1</v>
      </c>
      <c r="AE20" s="3">
        <v>0</v>
      </c>
      <c r="AF20" s="1">
        <f>SUM(B20:AE20)</f>
        <v>21</v>
      </c>
      <c r="AG20" s="1" t="s">
        <v>51</v>
      </c>
    </row>
    <row r="21" spans="1:33" x14ac:dyDescent="0.35">
      <c r="A21" s="2" t="s">
        <v>17</v>
      </c>
      <c r="B21" s="3">
        <v>1</v>
      </c>
      <c r="C21" s="3">
        <v>1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1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1</v>
      </c>
      <c r="P21" s="3">
        <v>0</v>
      </c>
      <c r="Q21" s="3">
        <v>1</v>
      </c>
      <c r="R21" s="3">
        <v>1</v>
      </c>
      <c r="S21" s="3">
        <v>0</v>
      </c>
      <c r="T21" s="3">
        <v>0</v>
      </c>
      <c r="U21" s="3">
        <v>1</v>
      </c>
      <c r="V21" s="3">
        <v>0</v>
      </c>
      <c r="W21" s="3">
        <v>0</v>
      </c>
      <c r="X21" s="3">
        <v>1</v>
      </c>
      <c r="Y21" s="3">
        <v>0</v>
      </c>
      <c r="Z21" s="3">
        <v>0</v>
      </c>
      <c r="AA21" s="3">
        <v>1</v>
      </c>
      <c r="AB21" s="3">
        <v>0</v>
      </c>
      <c r="AC21" s="3">
        <v>1</v>
      </c>
      <c r="AD21" s="3">
        <v>1</v>
      </c>
      <c r="AE21" s="3">
        <v>0</v>
      </c>
      <c r="AF21" s="1">
        <f>SUM(B21:AE21)</f>
        <v>13</v>
      </c>
      <c r="AG21" s="1" t="s">
        <v>52</v>
      </c>
    </row>
    <row r="23" spans="1:33" x14ac:dyDescent="0.35">
      <c r="AE23" s="1" t="s">
        <v>50</v>
      </c>
      <c r="AF23" s="1" t="s">
        <v>51</v>
      </c>
    </row>
    <row r="24" spans="1:33" x14ac:dyDescent="0.35">
      <c r="AE24" s="1" t="s">
        <v>55</v>
      </c>
      <c r="AF24" s="1" t="s">
        <v>53</v>
      </c>
    </row>
    <row r="25" spans="1:33" x14ac:dyDescent="0.35">
      <c r="AE25" s="1" t="s">
        <v>56</v>
      </c>
      <c r="AF25" s="1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9CEB-EF2E-4770-A6E1-D6310E366556}">
  <dimension ref="A1:B21"/>
  <sheetViews>
    <sheetView workbookViewId="0">
      <selection activeCell="B15" sqref="B15"/>
    </sheetView>
  </sheetViews>
  <sheetFormatPr defaultRowHeight="14.5" x14ac:dyDescent="0.35"/>
  <cols>
    <col min="1" max="1" width="24" bestFit="1" customWidth="1"/>
    <col min="2" max="2" width="10.08984375" bestFit="1" customWidth="1"/>
  </cols>
  <sheetData>
    <row r="1" spans="1:2" x14ac:dyDescent="0.35">
      <c r="A1" t="s">
        <v>58</v>
      </c>
      <c r="B1" t="s">
        <v>59</v>
      </c>
    </row>
    <row r="2" spans="1:2" x14ac:dyDescent="0.35">
      <c r="A2" s="1" t="s">
        <v>61</v>
      </c>
      <c r="B2" s="1" t="s">
        <v>62</v>
      </c>
    </row>
    <row r="3" spans="1:2" x14ac:dyDescent="0.35">
      <c r="A3" s="1" t="s">
        <v>4</v>
      </c>
      <c r="B3" s="1" t="s">
        <v>62</v>
      </c>
    </row>
    <row r="4" spans="1:2" x14ac:dyDescent="0.35">
      <c r="A4" s="1" t="s">
        <v>2</v>
      </c>
      <c r="B4" s="1" t="s">
        <v>62</v>
      </c>
    </row>
    <row r="5" spans="1:2" x14ac:dyDescent="0.35">
      <c r="A5" s="1" t="s">
        <v>6</v>
      </c>
      <c r="B5" s="1" t="s">
        <v>60</v>
      </c>
    </row>
    <row r="6" spans="1:2" x14ac:dyDescent="0.35">
      <c r="A6" s="1" t="s">
        <v>7</v>
      </c>
      <c r="B6" s="1" t="s">
        <v>60</v>
      </c>
    </row>
    <row r="7" spans="1:2" x14ac:dyDescent="0.35">
      <c r="A7" s="1" t="s">
        <v>3</v>
      </c>
      <c r="B7" s="1" t="s">
        <v>62</v>
      </c>
    </row>
    <row r="8" spans="1:2" x14ac:dyDescent="0.35">
      <c r="A8" s="1" t="s">
        <v>63</v>
      </c>
      <c r="B8" s="1" t="s">
        <v>60</v>
      </c>
    </row>
    <row r="9" spans="1:2" x14ac:dyDescent="0.35">
      <c r="A9" s="1" t="s">
        <v>9</v>
      </c>
      <c r="B9" s="1" t="s">
        <v>60</v>
      </c>
    </row>
    <row r="10" spans="1:2" x14ac:dyDescent="0.35">
      <c r="A10" s="1" t="s">
        <v>0</v>
      </c>
      <c r="B10" s="1" t="s">
        <v>62</v>
      </c>
    </row>
    <row r="11" spans="1:2" x14ac:dyDescent="0.35">
      <c r="A11" s="1" t="s">
        <v>10</v>
      </c>
      <c r="B11" s="1" t="s">
        <v>62</v>
      </c>
    </row>
    <row r="12" spans="1:2" x14ac:dyDescent="0.35">
      <c r="A12" s="1" t="s">
        <v>11</v>
      </c>
      <c r="B12" s="1" t="s">
        <v>62</v>
      </c>
    </row>
    <row r="13" spans="1:2" x14ac:dyDescent="0.35">
      <c r="A13" s="1" t="s">
        <v>12</v>
      </c>
      <c r="B13" s="1" t="s">
        <v>62</v>
      </c>
    </row>
    <row r="14" spans="1:2" x14ac:dyDescent="0.35">
      <c r="A14" s="1" t="s">
        <v>13</v>
      </c>
      <c r="B14" s="1" t="s">
        <v>60</v>
      </c>
    </row>
    <row r="15" spans="1:2" x14ac:dyDescent="0.35">
      <c r="A15" s="1" t="s">
        <v>14</v>
      </c>
      <c r="B15" s="1" t="s">
        <v>60</v>
      </c>
    </row>
    <row r="16" spans="1:2" x14ac:dyDescent="0.35">
      <c r="A16" s="1" t="s">
        <v>15</v>
      </c>
      <c r="B16" s="1" t="s">
        <v>60</v>
      </c>
    </row>
    <row r="17" spans="1:2" x14ac:dyDescent="0.35">
      <c r="A17" s="1" t="s">
        <v>1</v>
      </c>
      <c r="B17" s="1" t="s">
        <v>62</v>
      </c>
    </row>
    <row r="18" spans="1:2" x14ac:dyDescent="0.35">
      <c r="A18" s="1" t="s">
        <v>57</v>
      </c>
      <c r="B18" s="1" t="s">
        <v>62</v>
      </c>
    </row>
    <row r="19" spans="1:2" x14ac:dyDescent="0.35">
      <c r="A19" s="1" t="s">
        <v>16</v>
      </c>
      <c r="B19" s="1" t="s">
        <v>60</v>
      </c>
    </row>
    <row r="20" spans="1:2" x14ac:dyDescent="0.35">
      <c r="A20" s="1" t="s">
        <v>64</v>
      </c>
      <c r="B20" s="1" t="s">
        <v>62</v>
      </c>
    </row>
    <row r="21" spans="1:2" x14ac:dyDescent="0.35">
      <c r="A21" s="1" t="s">
        <v>17</v>
      </c>
      <c r="B21" s="1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Feature Importance</vt:lpstr>
      <vt:lpstr>Feature Importance -Bruno</vt:lpstr>
      <vt:lpstr>Numerical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Tereso</dc:creator>
  <cp:lastModifiedBy>Bruno Tereso</cp:lastModifiedBy>
  <dcterms:created xsi:type="dcterms:W3CDTF">2024-10-26T11:24:15Z</dcterms:created>
  <dcterms:modified xsi:type="dcterms:W3CDTF">2024-10-27T14:55:20Z</dcterms:modified>
</cp:coreProperties>
</file>